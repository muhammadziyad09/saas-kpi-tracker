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sights &amp; Method" sheetId="3" state="visible" r:id="rId3"/>
  </sheets>
  <definedNames>
    <definedName name="_xlnm._FilterDatabase" localSheetId="1" hidden="1">'Data'!$A$1:$I$25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&quot;%&quot;"/>
    <numFmt numFmtId="166" formatCode="0.0%"/>
    <numFmt numFmtId="167" formatCode="#,##0.0"/>
  </numFmts>
  <fonts count="9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595959"/>
      <sz val="10"/>
    </font>
    <font>
      <b val="1"/>
      <color rgb="00FFFFFF"/>
      <sz val="10"/>
    </font>
    <font>
      <b val="1"/>
      <color rgb="001F3864"/>
      <sz val="14"/>
    </font>
    <font>
      <b val="1"/>
      <color rgb="001F3864"/>
      <sz val="11"/>
    </font>
    <font>
      <b val="1"/>
      <color rgb="001F3864"/>
      <sz val="13"/>
    </font>
    <font>
      <color rgb="00262626"/>
      <sz val="11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  <xf numFmtId="0" fontId="3" fillId="2" borderId="1" applyAlignment="1" pivotButton="0" quotePrefix="0" xfId="0">
      <alignment horizontal="center"/>
    </xf>
    <xf numFmtId="2" fontId="0" fillId="0" borderId="0" pivotButton="0" quotePrefix="0" xfId="0"/>
    <xf numFmtId="4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Growth — Quarter Ends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'Dashboard'!$A$11:$A$18</f>
            </numRef>
          </cat>
          <val>
            <numRef>
              <f>'Dashboard'!$B$11:$B$18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Growth — Quarter 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'Dashboard'!$D$11:$D$18</f>
            </numRef>
          </cat>
          <val>
            <numRef>
              <f>'Dashboard'!$E$11:$E$18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GLOBAL SaaS  —  GROWTH &amp; RETENTION DASHBOARD</t>
        </is>
      </c>
    </row>
    <row r="2">
      <c r="A2" s="2" t="inlineStr">
        <is>
          <t>Sample portfolio project  •  Jul 2024 – Jun 2026 (USD)  •  KPIs are live formulas linked to the Data sheet</t>
        </is>
      </c>
    </row>
    <row r="4">
      <c r="A4" s="3" t="inlineStr">
        <is>
          <t>LATEST MRR ($)</t>
        </is>
      </c>
      <c r="C4" s="3" t="inlineStr">
        <is>
          <t>ANNUAL RUN RATE</t>
        </is>
      </c>
      <c r="E4" s="3" t="inlineStr">
        <is>
          <t>TOTAL CUSTOMERS</t>
        </is>
      </c>
      <c r="G4" s="3" t="inlineStr">
        <is>
          <t>LATEST CHURN</t>
        </is>
      </c>
      <c r="H4" s="3" t="inlineStr">
        <is>
          <t>MRR GROWTH (24 MO)</t>
        </is>
      </c>
    </row>
    <row r="5">
      <c r="A5" s="4">
        <f>INDEX(Data!F2:F25,24)</f>
        <v/>
      </c>
      <c r="C5" s="5">
        <f>A5*12</f>
        <v/>
      </c>
      <c r="E5" s="4">
        <f>INDEX(Data!E2:E25,24)</f>
        <v/>
      </c>
      <c r="G5" s="6">
        <f>INDEX(Data!D2:D25,24)</f>
        <v/>
      </c>
      <c r="H5" s="7">
        <f>A5/INDEX(Data!F2:F25,1)-1</f>
        <v/>
      </c>
    </row>
    <row r="6"/>
    <row r="9">
      <c r="A9" s="8" t="inlineStr">
        <is>
          <t>MRR by Quarter-End</t>
        </is>
      </c>
      <c r="D9" s="8" t="inlineStr">
        <is>
          <t>Customers by Quarter-End</t>
        </is>
      </c>
      <c r="G9" s="8" t="inlineStr">
        <is>
          <t>Churn by Quarter-End</t>
        </is>
      </c>
    </row>
    <row r="10">
      <c r="A10" s="9" t="inlineStr">
        <is>
          <t>Month</t>
        </is>
      </c>
      <c r="B10" s="9" t="inlineStr">
        <is>
          <t>MRR ($)</t>
        </is>
      </c>
      <c r="D10" s="9" t="inlineStr">
        <is>
          <t>Month</t>
        </is>
      </c>
      <c r="E10" s="9" t="inlineStr">
        <is>
          <t>Customers</t>
        </is>
      </c>
      <c r="G10" s="9" t="inlineStr">
        <is>
          <t>Month</t>
        </is>
      </c>
      <c r="H10" s="9" t="inlineStr">
        <is>
          <t>Churn %</t>
        </is>
      </c>
    </row>
    <row r="11">
      <c r="A11" s="10" t="inlineStr">
        <is>
          <t>Sep 2024</t>
        </is>
      </c>
      <c r="B11" s="11" t="n">
        <v>60302.84</v>
      </c>
      <c r="D11" s="10" t="inlineStr">
        <is>
          <t>Sep 2024</t>
        </is>
      </c>
      <c r="E11" s="11" t="n">
        <v>1303</v>
      </c>
      <c r="G11" s="10" t="inlineStr">
        <is>
          <t>Sep 2024</t>
        </is>
      </c>
      <c r="H11" s="12" t="n">
        <v>4.59</v>
      </c>
    </row>
    <row r="12">
      <c r="A12" s="10" t="inlineStr">
        <is>
          <t>Dec 2024</t>
        </is>
      </c>
      <c r="B12" s="11" t="n">
        <v>69419.52</v>
      </c>
      <c r="D12" s="10" t="inlineStr">
        <is>
          <t>Dec 2024</t>
        </is>
      </c>
      <c r="E12" s="11" t="n">
        <v>1472</v>
      </c>
      <c r="G12" s="10" t="inlineStr">
        <is>
          <t>Dec 2024</t>
        </is>
      </c>
      <c r="H12" s="12" t="n">
        <v>4.06</v>
      </c>
    </row>
    <row r="13">
      <c r="A13" s="10" t="inlineStr">
        <is>
          <t>Mar 2025</t>
        </is>
      </c>
      <c r="B13" s="11" t="n">
        <v>81456.84</v>
      </c>
      <c r="D13" s="10" t="inlineStr">
        <is>
          <t>Mar 2025</t>
        </is>
      </c>
      <c r="E13" s="11" t="n">
        <v>1674</v>
      </c>
      <c r="G13" s="10" t="inlineStr">
        <is>
          <t>Mar 2025</t>
        </is>
      </c>
      <c r="H13" s="12" t="n">
        <v>3.79</v>
      </c>
    </row>
    <row r="14">
      <c r="A14" s="10" t="inlineStr">
        <is>
          <t>Jun 2025</t>
        </is>
      </c>
      <c r="B14" s="11" t="n">
        <v>95320.02</v>
      </c>
      <c r="D14" s="10" t="inlineStr">
        <is>
          <t>Jun 2025</t>
        </is>
      </c>
      <c r="E14" s="11" t="n">
        <v>1921</v>
      </c>
      <c r="G14" s="10" t="inlineStr">
        <is>
          <t>Jun 2025</t>
        </is>
      </c>
      <c r="H14" s="12" t="n">
        <v>3.74</v>
      </c>
    </row>
    <row r="15">
      <c r="A15" s="10" t="inlineStr">
        <is>
          <t>Sep 2025</t>
        </is>
      </c>
      <c r="B15" s="11" t="n">
        <v>110938.5</v>
      </c>
      <c r="D15" s="10" t="inlineStr">
        <is>
          <t>Sep 2025</t>
        </is>
      </c>
      <c r="E15" s="11" t="n">
        <v>2225</v>
      </c>
      <c r="G15" s="10" t="inlineStr">
        <is>
          <t>Sep 2025</t>
        </is>
      </c>
      <c r="H15" s="12" t="n">
        <v>3.2</v>
      </c>
    </row>
    <row r="16">
      <c r="A16" s="10" t="inlineStr">
        <is>
          <t>Dec 2025</t>
        </is>
      </c>
      <c r="B16" s="11" t="n">
        <v>131531.4</v>
      </c>
      <c r="D16" s="10" t="inlineStr">
        <is>
          <t>Dec 2025</t>
        </is>
      </c>
      <c r="E16" s="11" t="n">
        <v>2574</v>
      </c>
      <c r="G16" s="10" t="inlineStr">
        <is>
          <t>Dec 2025</t>
        </is>
      </c>
      <c r="H16" s="12" t="n">
        <v>3.08</v>
      </c>
    </row>
    <row r="17">
      <c r="A17" s="10" t="inlineStr">
        <is>
          <t>Mar 2026</t>
        </is>
      </c>
      <c r="B17" s="11" t="n">
        <v>154804</v>
      </c>
      <c r="D17" s="10" t="inlineStr">
        <is>
          <t>Mar 2026</t>
        </is>
      </c>
      <c r="E17" s="11" t="n">
        <v>2977</v>
      </c>
      <c r="G17" s="10" t="inlineStr">
        <is>
          <t>Mar 2026</t>
        </is>
      </c>
      <c r="H17" s="12" t="n">
        <v>2.54</v>
      </c>
    </row>
    <row r="18">
      <c r="A18" s="10" t="inlineStr">
        <is>
          <t>Jun 2026</t>
        </is>
      </c>
      <c r="B18" s="11" t="n">
        <v>184216.5</v>
      </c>
      <c r="D18" s="10" t="inlineStr">
        <is>
          <t>Jun 2026</t>
        </is>
      </c>
      <c r="E18" s="11" t="n">
        <v>3525</v>
      </c>
      <c r="G18" s="10" t="inlineStr">
        <is>
          <t>Jun 2026</t>
        </is>
      </c>
      <c r="H18" s="12" t="n">
        <v>2.27</v>
      </c>
    </row>
    <row r="20">
      <c r="A20" s="8" t="inlineStr">
        <is>
          <t>Unit Economics</t>
        </is>
      </c>
    </row>
    <row r="21">
      <c r="A21" s="9" t="inlineStr">
        <is>
          <t>Metric</t>
        </is>
      </c>
      <c r="B21" s="9" t="inlineStr">
        <is>
          <t>Value</t>
        </is>
      </c>
    </row>
    <row r="22">
      <c r="A22" s="10" t="inlineStr">
        <is>
          <t>ARPU ($ / mo)</t>
        </is>
      </c>
      <c r="B22" s="13" t="n">
        <v>52.26</v>
      </c>
    </row>
    <row r="23">
      <c r="A23" s="10" t="inlineStr">
        <is>
          <t>Avg CAC ($)</t>
        </is>
      </c>
      <c r="B23" s="13" t="n">
        <v>273</v>
      </c>
    </row>
    <row r="24">
      <c r="A24" s="10" t="inlineStr">
        <is>
          <t>LTV ($)</t>
        </is>
      </c>
      <c r="B24" s="13" t="n">
        <v>2302</v>
      </c>
    </row>
    <row r="25">
      <c r="A25" s="10" t="inlineStr">
        <is>
          <t>LTV : CAC</t>
        </is>
      </c>
      <c r="B25" s="13" t="n">
        <v>8.4</v>
      </c>
    </row>
  </sheetData>
  <mergeCells count="16">
    <mergeCell ref="A4:B4"/>
    <mergeCell ref="G5:G6"/>
    <mergeCell ref="A1:J1"/>
    <mergeCell ref="E4:F4"/>
    <mergeCell ref="A20:B20"/>
    <mergeCell ref="G4"/>
    <mergeCell ref="A9:B9"/>
    <mergeCell ref="C5:D6"/>
    <mergeCell ref="A5:B6"/>
    <mergeCell ref="E5:F6"/>
    <mergeCell ref="H4:I4"/>
    <mergeCell ref="A2:J2"/>
    <mergeCell ref="H5:I6"/>
    <mergeCell ref="G9:H9"/>
    <mergeCell ref="D9:E9"/>
    <mergeCell ref="C4:D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1" customWidth="1" min="4" max="4"/>
    <col width="15" customWidth="1" min="5" max="5"/>
    <col width="11" customWidth="1" min="6" max="6"/>
    <col width="10" customWidth="1" min="7" max="7"/>
    <col width="10" customWidth="1" min="8" max="8"/>
    <col width="15" customWidth="1" min="9" max="9"/>
  </cols>
  <sheetData>
    <row r="1">
      <c r="A1" s="14" t="inlineStr">
        <is>
          <t>Month</t>
        </is>
      </c>
      <c r="B1" s="14" t="inlineStr">
        <is>
          <t>New Customers</t>
        </is>
      </c>
      <c r="C1" s="14" t="inlineStr">
        <is>
          <t>Churned Customers</t>
        </is>
      </c>
      <c r="D1" s="14" t="inlineStr">
        <is>
          <t>Churn Rate %</t>
        </is>
      </c>
      <c r="E1" s="14" t="inlineStr">
        <is>
          <t>Total Customers</t>
        </is>
      </c>
      <c r="F1" s="14" t="inlineStr">
        <is>
          <t>MRR ($)</t>
        </is>
      </c>
      <c r="G1" s="14" t="inlineStr">
        <is>
          <t>ARPU ($)</t>
        </is>
      </c>
      <c r="H1" s="14" t="inlineStr">
        <is>
          <t>CAC ($)</t>
        </is>
      </c>
      <c r="I1" s="14" t="inlineStr">
        <is>
          <t>Marketing Spend ($)</t>
        </is>
      </c>
    </row>
    <row r="2">
      <c r="A2" t="inlineStr">
        <is>
          <t>Jul 2024</t>
        </is>
      </c>
      <c r="B2" t="n">
        <v>99</v>
      </c>
      <c r="C2" t="n">
        <v>57</v>
      </c>
      <c r="D2" s="15" t="n">
        <v>4.86</v>
      </c>
      <c r="E2" t="n">
        <v>1222</v>
      </c>
      <c r="F2" s="16" t="n">
        <v>56114.24</v>
      </c>
      <c r="G2" s="16" t="n">
        <v>45.92</v>
      </c>
      <c r="H2" s="16" t="n">
        <v>262.92</v>
      </c>
      <c r="I2" s="16" t="n">
        <v>26029.43</v>
      </c>
    </row>
    <row r="3">
      <c r="A3" t="inlineStr">
        <is>
          <t>Aug 2024</t>
        </is>
      </c>
      <c r="B3" t="n">
        <v>102</v>
      </c>
      <c r="C3" t="n">
        <v>59</v>
      </c>
      <c r="D3" s="15" t="n">
        <v>4.88</v>
      </c>
      <c r="E3" t="n">
        <v>1265</v>
      </c>
      <c r="F3" s="16" t="n">
        <v>58455.65</v>
      </c>
      <c r="G3" s="16" t="n">
        <v>46.21</v>
      </c>
      <c r="H3" s="16" t="n">
        <v>289.04</v>
      </c>
      <c r="I3" s="16" t="n">
        <v>29481.57</v>
      </c>
    </row>
    <row r="4">
      <c r="A4" t="inlineStr">
        <is>
          <t>Sep 2024</t>
        </is>
      </c>
      <c r="B4" t="n">
        <v>96</v>
      </c>
      <c r="C4" t="n">
        <v>58</v>
      </c>
      <c r="D4" s="15" t="n">
        <v>4.59</v>
      </c>
      <c r="E4" t="n">
        <v>1303</v>
      </c>
      <c r="F4" s="16" t="n">
        <v>60302.84</v>
      </c>
      <c r="G4" s="16" t="n">
        <v>46.28</v>
      </c>
      <c r="H4" s="16" t="n">
        <v>274.77</v>
      </c>
      <c r="I4" s="16" t="n">
        <v>26377.98</v>
      </c>
    </row>
    <row r="5">
      <c r="A5" t="inlineStr">
        <is>
          <t>Oct 2024</t>
        </is>
      </c>
      <c r="B5" t="n">
        <v>110</v>
      </c>
      <c r="C5" t="n">
        <v>60</v>
      </c>
      <c r="D5" s="15" t="n">
        <v>4.61</v>
      </c>
      <c r="E5" t="n">
        <v>1353</v>
      </c>
      <c r="F5" s="16" t="n">
        <v>63388.05</v>
      </c>
      <c r="G5" s="16" t="n">
        <v>46.85</v>
      </c>
      <c r="H5" s="16" t="n">
        <v>289.75</v>
      </c>
      <c r="I5" s="16" t="n">
        <v>31872.89</v>
      </c>
    </row>
    <row r="6">
      <c r="A6" t="inlineStr">
        <is>
          <t>Nov 2024</t>
        </is>
      </c>
      <c r="B6" t="n">
        <v>110</v>
      </c>
      <c r="C6" t="n">
        <v>56</v>
      </c>
      <c r="D6" s="15" t="n">
        <v>4.21</v>
      </c>
      <c r="E6" t="n">
        <v>1407</v>
      </c>
      <c r="F6" s="16" t="n">
        <v>66241.56</v>
      </c>
      <c r="G6" s="16" t="n">
        <v>47.08</v>
      </c>
      <c r="H6" s="16" t="n">
        <v>283.61</v>
      </c>
      <c r="I6" s="16" t="n">
        <v>31197.09</v>
      </c>
    </row>
    <row r="7">
      <c r="A7" t="inlineStr">
        <is>
          <t>Dec 2024</t>
        </is>
      </c>
      <c r="B7" t="n">
        <v>122</v>
      </c>
      <c r="C7" t="n">
        <v>57</v>
      </c>
      <c r="D7" s="15" t="n">
        <v>4.06</v>
      </c>
      <c r="E7" t="n">
        <v>1472</v>
      </c>
      <c r="F7" s="16" t="n">
        <v>69419.52</v>
      </c>
      <c r="G7" s="16" t="n">
        <v>47.16</v>
      </c>
      <c r="H7" s="16" t="n">
        <v>265.17</v>
      </c>
      <c r="I7" s="16" t="n">
        <v>32351.2</v>
      </c>
    </row>
    <row r="8">
      <c r="A8" t="inlineStr">
        <is>
          <t>Jan 2025</t>
        </is>
      </c>
      <c r="B8" t="n">
        <v>123</v>
      </c>
      <c r="C8" t="n">
        <v>63</v>
      </c>
      <c r="D8" s="15" t="n">
        <v>4.28</v>
      </c>
      <c r="E8" t="n">
        <v>1532</v>
      </c>
      <c r="F8" s="16" t="n">
        <v>72708.72</v>
      </c>
      <c r="G8" s="16" t="n">
        <v>47.46</v>
      </c>
      <c r="H8" s="16" t="n">
        <v>256.84</v>
      </c>
      <c r="I8" s="16" t="n">
        <v>31590.75</v>
      </c>
    </row>
    <row r="9">
      <c r="A9" t="inlineStr">
        <is>
          <t>Feb 2025</t>
        </is>
      </c>
      <c r="B9" t="n">
        <v>137</v>
      </c>
      <c r="C9" t="n">
        <v>64</v>
      </c>
      <c r="D9" s="15" t="n">
        <v>4.18</v>
      </c>
      <c r="E9" t="n">
        <v>1605</v>
      </c>
      <c r="F9" s="16" t="n">
        <v>77409.14999999999</v>
      </c>
      <c r="G9" s="16" t="n">
        <v>48.23</v>
      </c>
      <c r="H9" s="16" t="n">
        <v>256.55</v>
      </c>
      <c r="I9" s="16" t="n">
        <v>35147.01</v>
      </c>
    </row>
    <row r="10">
      <c r="A10" t="inlineStr">
        <is>
          <t>Mar 2025</t>
        </is>
      </c>
      <c r="B10" t="n">
        <v>129</v>
      </c>
      <c r="C10" t="n">
        <v>60</v>
      </c>
      <c r="D10" s="15" t="n">
        <v>3.79</v>
      </c>
      <c r="E10" t="n">
        <v>1674</v>
      </c>
      <c r="F10" s="16" t="n">
        <v>81456.84</v>
      </c>
      <c r="G10" s="16" t="n">
        <v>48.66</v>
      </c>
      <c r="H10" s="16" t="n">
        <v>259.99</v>
      </c>
      <c r="I10" s="16" t="n">
        <v>33538.85</v>
      </c>
    </row>
    <row r="11">
      <c r="A11" t="inlineStr">
        <is>
          <t>Apr 2025</t>
        </is>
      </c>
      <c r="B11" t="n">
        <v>132</v>
      </c>
      <c r="C11" t="n">
        <v>61</v>
      </c>
      <c r="D11" s="15" t="n">
        <v>3.7</v>
      </c>
      <c r="E11" t="n">
        <v>1745</v>
      </c>
      <c r="F11" s="16" t="n">
        <v>85208.35000000001</v>
      </c>
      <c r="G11" s="16" t="n">
        <v>48.83</v>
      </c>
      <c r="H11" s="16" t="n">
        <v>262.92</v>
      </c>
      <c r="I11" s="16" t="n">
        <v>34705.56</v>
      </c>
    </row>
    <row r="12">
      <c r="A12" t="inlineStr">
        <is>
          <t>May 2025</t>
        </is>
      </c>
      <c r="B12" t="n">
        <v>158</v>
      </c>
      <c r="C12" t="n">
        <v>63</v>
      </c>
      <c r="D12" s="15" t="n">
        <v>3.62</v>
      </c>
      <c r="E12" t="n">
        <v>1840</v>
      </c>
      <c r="F12" s="16" t="n">
        <v>90123.2</v>
      </c>
      <c r="G12" s="16" t="n">
        <v>48.98</v>
      </c>
      <c r="H12" s="16" t="n">
        <v>262.68</v>
      </c>
      <c r="I12" s="16" t="n">
        <v>41502.66</v>
      </c>
    </row>
    <row r="13">
      <c r="A13" t="inlineStr">
        <is>
          <t>Jun 2025</t>
        </is>
      </c>
      <c r="B13" t="n">
        <v>149</v>
      </c>
      <c r="C13" t="n">
        <v>68</v>
      </c>
      <c r="D13" s="15" t="n">
        <v>3.74</v>
      </c>
      <c r="E13" t="n">
        <v>1921</v>
      </c>
      <c r="F13" s="16" t="n">
        <v>95320.02</v>
      </c>
      <c r="G13" s="16" t="n">
        <v>49.62</v>
      </c>
      <c r="H13" s="16" t="n">
        <v>264.69</v>
      </c>
      <c r="I13" s="16" t="n">
        <v>39439.4</v>
      </c>
    </row>
    <row r="14">
      <c r="A14" t="inlineStr">
        <is>
          <t>Jul 2025</t>
        </is>
      </c>
      <c r="B14" t="n">
        <v>157</v>
      </c>
      <c r="C14" t="n">
        <v>63</v>
      </c>
      <c r="D14" s="15" t="n">
        <v>3.3</v>
      </c>
      <c r="E14" t="n">
        <v>2015</v>
      </c>
      <c r="F14" s="16" t="n">
        <v>98976.8</v>
      </c>
      <c r="G14" s="16" t="n">
        <v>49.12</v>
      </c>
      <c r="H14" s="16" t="n">
        <v>270.36</v>
      </c>
      <c r="I14" s="16" t="n">
        <v>42446.28</v>
      </c>
    </row>
    <row r="15">
      <c r="A15" t="inlineStr">
        <is>
          <t>Aug 2025</t>
        </is>
      </c>
      <c r="B15" t="n">
        <v>168</v>
      </c>
      <c r="C15" t="n">
        <v>68</v>
      </c>
      <c r="D15" s="15" t="n">
        <v>3.4</v>
      </c>
      <c r="E15" t="n">
        <v>2115</v>
      </c>
      <c r="F15" s="16" t="n">
        <v>104840.55</v>
      </c>
      <c r="G15" s="16" t="n">
        <v>49.57</v>
      </c>
      <c r="H15" s="16" t="n">
        <v>261.32</v>
      </c>
      <c r="I15" s="16" t="n">
        <v>43902.08</v>
      </c>
    </row>
    <row r="16">
      <c r="A16" t="inlineStr">
        <is>
          <t>Sep 2025</t>
        </is>
      </c>
      <c r="B16" t="n">
        <v>177</v>
      </c>
      <c r="C16" t="n">
        <v>67</v>
      </c>
      <c r="D16" s="15" t="n">
        <v>3.2</v>
      </c>
      <c r="E16" t="n">
        <v>2225</v>
      </c>
      <c r="F16" s="16" t="n">
        <v>110938.5</v>
      </c>
      <c r="G16" s="16" t="n">
        <v>49.86</v>
      </c>
      <c r="H16" s="16" t="n">
        <v>293.93</v>
      </c>
      <c r="I16" s="16" t="n">
        <v>52025.32</v>
      </c>
    </row>
    <row r="17">
      <c r="A17" t="inlineStr">
        <is>
          <t>Oct 2025</t>
        </is>
      </c>
      <c r="B17" t="n">
        <v>186</v>
      </c>
      <c r="C17" t="n">
        <v>65</v>
      </c>
      <c r="D17" s="15" t="n">
        <v>2.96</v>
      </c>
      <c r="E17" t="n">
        <v>2346</v>
      </c>
      <c r="F17" s="16" t="n">
        <v>119129.88</v>
      </c>
      <c r="G17" s="16" t="n">
        <v>50.78</v>
      </c>
      <c r="H17" s="16" t="n">
        <v>293.79</v>
      </c>
      <c r="I17" s="16" t="n">
        <v>54644.58</v>
      </c>
    </row>
    <row r="18">
      <c r="A18" t="inlineStr">
        <is>
          <t>Nov 2025</t>
        </is>
      </c>
      <c r="B18" t="n">
        <v>188</v>
      </c>
      <c r="C18" t="n">
        <v>75</v>
      </c>
      <c r="D18" s="15" t="n">
        <v>3.23</v>
      </c>
      <c r="E18" t="n">
        <v>2459</v>
      </c>
      <c r="F18" s="16" t="n">
        <v>123490.98</v>
      </c>
      <c r="G18" s="16" t="n">
        <v>50.22</v>
      </c>
      <c r="H18" s="16" t="n">
        <v>291.75</v>
      </c>
      <c r="I18" s="16" t="n">
        <v>54848.36</v>
      </c>
    </row>
    <row r="19">
      <c r="A19" t="inlineStr">
        <is>
          <t>Dec 2025</t>
        </is>
      </c>
      <c r="B19" t="n">
        <v>190</v>
      </c>
      <c r="C19" t="n">
        <v>75</v>
      </c>
      <c r="D19" s="15" t="n">
        <v>3.08</v>
      </c>
      <c r="E19" t="n">
        <v>2574</v>
      </c>
      <c r="F19" s="16" t="n">
        <v>131531.4</v>
      </c>
      <c r="G19" s="16" t="n">
        <v>51.1</v>
      </c>
      <c r="H19" s="16" t="n">
        <v>293.33</v>
      </c>
      <c r="I19" s="16" t="n">
        <v>55733.36</v>
      </c>
    </row>
    <row r="20">
      <c r="A20" t="inlineStr">
        <is>
          <t>Jan 2026</t>
        </is>
      </c>
      <c r="B20" t="n">
        <v>203</v>
      </c>
      <c r="C20" t="n">
        <v>74</v>
      </c>
      <c r="D20" s="15" t="n">
        <v>2.88</v>
      </c>
      <c r="E20" t="n">
        <v>2703</v>
      </c>
      <c r="F20" s="16" t="n">
        <v>139691.04</v>
      </c>
      <c r="G20" s="16" t="n">
        <v>51.68</v>
      </c>
      <c r="H20" s="16" t="n">
        <v>260.15</v>
      </c>
      <c r="I20" s="16" t="n">
        <v>52811.25</v>
      </c>
    </row>
    <row r="21">
      <c r="A21" t="inlineStr">
        <is>
          <t>Feb 2026</t>
        </is>
      </c>
      <c r="B21" t="n">
        <v>208</v>
      </c>
      <c r="C21" t="n">
        <v>73</v>
      </c>
      <c r="D21" s="15" t="n">
        <v>2.73</v>
      </c>
      <c r="E21" t="n">
        <v>2838</v>
      </c>
      <c r="F21" s="16" t="n">
        <v>145192.08</v>
      </c>
      <c r="G21" s="16" t="n">
        <v>51.16</v>
      </c>
      <c r="H21" s="16" t="n">
        <v>257.18</v>
      </c>
      <c r="I21" s="16" t="n">
        <v>53493.77</v>
      </c>
    </row>
    <row r="22">
      <c r="A22" t="inlineStr">
        <is>
          <t>Mar 2026</t>
        </is>
      </c>
      <c r="B22" t="n">
        <v>211</v>
      </c>
      <c r="C22" t="n">
        <v>72</v>
      </c>
      <c r="D22" s="15" t="n">
        <v>2.54</v>
      </c>
      <c r="E22" t="n">
        <v>2977</v>
      </c>
      <c r="F22" s="16" t="n">
        <v>154804</v>
      </c>
      <c r="G22" s="16" t="n">
        <v>52</v>
      </c>
      <c r="H22" s="16" t="n">
        <v>273.63</v>
      </c>
      <c r="I22" s="16" t="n">
        <v>57736.84</v>
      </c>
    </row>
    <row r="23">
      <c r="A23" t="inlineStr">
        <is>
          <t>Apr 2026</t>
        </is>
      </c>
      <c r="B23" t="n">
        <v>243</v>
      </c>
      <c r="C23" t="n">
        <v>68</v>
      </c>
      <c r="D23" s="15" t="n">
        <v>2.3</v>
      </c>
      <c r="E23" t="n">
        <v>3152</v>
      </c>
      <c r="F23" s="16" t="n">
        <v>163084.48</v>
      </c>
      <c r="G23" s="16" t="n">
        <v>51.74</v>
      </c>
      <c r="H23" s="16" t="n">
        <v>277.62</v>
      </c>
      <c r="I23" s="16" t="n">
        <v>67460.94</v>
      </c>
    </row>
    <row r="24">
      <c r="A24" t="inlineStr">
        <is>
          <t>May 2026</t>
        </is>
      </c>
      <c r="B24" t="n">
        <v>236</v>
      </c>
      <c r="C24" t="n">
        <v>68</v>
      </c>
      <c r="D24" s="15" t="n">
        <v>2.19</v>
      </c>
      <c r="E24" t="n">
        <v>3320</v>
      </c>
      <c r="F24" s="16" t="n">
        <v>172673.2</v>
      </c>
      <c r="G24" s="16" t="n">
        <v>52.01</v>
      </c>
      <c r="H24" s="16" t="n">
        <v>281.08</v>
      </c>
      <c r="I24" s="16" t="n">
        <v>66333.77</v>
      </c>
    </row>
    <row r="25">
      <c r="A25" t="inlineStr">
        <is>
          <t>Jun 2026</t>
        </is>
      </c>
      <c r="B25" t="n">
        <v>280</v>
      </c>
      <c r="C25" t="n">
        <v>75</v>
      </c>
      <c r="D25" s="15" t="n">
        <v>2.27</v>
      </c>
      <c r="E25" t="n">
        <v>3525</v>
      </c>
      <c r="F25" s="16" t="n">
        <v>184216.5</v>
      </c>
      <c r="G25" s="16" t="n">
        <v>52.26</v>
      </c>
      <c r="H25" s="16" t="n">
        <v>262.79</v>
      </c>
      <c r="I25" s="16" t="n">
        <v>73581.53</v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17" t="inlineStr">
        <is>
          <t>KEY INSIGHTS</t>
        </is>
      </c>
    </row>
    <row r="2" ht="30" customHeight="1">
      <c r="A2" s="18" t="inlineStr">
        <is>
          <t>1. MRR more than tripled in 24 months: $56,114 → $184,216 (+228%), an annual run rate of $2,210,598.</t>
        </is>
      </c>
    </row>
    <row r="3" ht="30" customHeight="1">
      <c r="A3" s="18" t="inlineStr">
        <is>
          <t>2. Retention is the story: monthly churn fell from 4.86% to 2.27% — every point of churn saved compounds MRR.</t>
        </is>
      </c>
    </row>
    <row r="4" ht="18" customHeight="1">
      <c r="A4" s="18" t="inlineStr">
        <is>
          <t>3. Customer base grew 1,222 → 3,525, with growth accelerating as churn dropped.</t>
        </is>
      </c>
    </row>
    <row r="5" ht="18" customHeight="1">
      <c r="A5" s="18" t="inlineStr">
        <is>
          <t>4. Unit economics are healthy: ARPU $52/mo, average CAC $273, LTV ≈ $2,302 (LTV:CAC 8.4:1).</t>
        </is>
      </c>
    </row>
    <row r="6" ht="30" customHeight="1">
      <c r="A6" s="18" t="inlineStr">
        <is>
          <t>5. Recommendation in the full report: protect the retention programme before increasing ad spend — it is the cheapest growth lever here.</t>
        </is>
      </c>
    </row>
    <row r="7" ht="18" customHeight="1">
      <c r="A7" s="18" t="inlineStr"/>
    </row>
    <row r="8" ht="18" customHeight="1">
      <c r="A8" s="19" t="inlineStr">
        <is>
          <t>HOW THIS WAS MADE</t>
        </is>
      </c>
    </row>
    <row r="9" ht="30" customHeight="1">
      <c r="A9" s="18" t="inlineStr">
        <is>
          <t>• Monthly SaaS export cleaned and modelled in Excel; churn, ARPU, CAC and LTV calculated from first principles.</t>
        </is>
      </c>
    </row>
    <row r="10" ht="30" customHeight="1">
      <c r="A10" s="18" t="inlineStr">
        <is>
          <t>• KPIs use INDEX formulas on the latest month, so new months roll the dashboard forward automatically.</t>
        </is>
      </c>
    </row>
    <row r="11" ht="18" customHeight="1">
      <c r="A11" s="18" t="inlineStr">
        <is>
          <t>• Sample project on sample data. Client data stays confidential and is never reused.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2026-10-22T07:32:48+00:00Z</dcterms:created>
  <dcterms:modified xmlns:dcterms="http://purl.org/dc/terms/" xmlns:xsi="http://www.w3.org/2001/XMLSchema-instance" xsi:type="dcterms:W3CDTF">2026-10-22T07:32:48+00:00Z</dcterms:modified>
</cp:coreProperties>
</file>